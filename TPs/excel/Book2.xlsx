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oua\OneDrive\Desktop\tp\excel\"/>
    </mc:Choice>
  </mc:AlternateContent>
  <xr:revisionPtr revIDLastSave="0" documentId="13_ncr:1_{14C11A6B-8288-498E-81AC-70F9CF53AE09}" xr6:coauthVersionLast="47" xr6:coauthVersionMax="47" xr10:uidLastSave="{00000000-0000-0000-0000-000000000000}"/>
  <bookViews>
    <workbookView xWindow="-108" yWindow="-108" windowWidth="23256" windowHeight="12576" xr2:uid="{5EBF6460-D875-421B-A9E6-FA0F73644EA7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" i="1" l="1"/>
  <c r="N5" i="1"/>
  <c r="N6" i="1"/>
  <c r="N7" i="1"/>
  <c r="N8" i="1"/>
  <c r="N9" i="1"/>
  <c r="L4" i="1"/>
  <c r="L5" i="1"/>
  <c r="L6" i="1"/>
  <c r="L7" i="1"/>
  <c r="L8" i="1"/>
  <c r="L9" i="1"/>
  <c r="H5" i="1"/>
  <c r="M5" i="1" s="1"/>
  <c r="H6" i="1"/>
  <c r="M6" i="1" s="1"/>
  <c r="H7" i="1"/>
  <c r="M7" i="1" s="1"/>
  <c r="H8" i="1"/>
  <c r="M8" i="1" s="1"/>
  <c r="H9" i="1"/>
  <c r="M9" i="1" s="1"/>
  <c r="H4" i="1"/>
  <c r="M4" i="1" s="1"/>
</calcChain>
</file>

<file path=xl/sharedStrings.xml><?xml version="1.0" encoding="utf-8"?>
<sst xmlns="http://schemas.openxmlformats.org/spreadsheetml/2006/main" count="35" uniqueCount="33">
  <si>
    <t>code matériel</t>
  </si>
  <si>
    <t>type matériel</t>
  </si>
  <si>
    <t>marque</t>
  </si>
  <si>
    <t>département</t>
  </si>
  <si>
    <t>date de mise en service</t>
  </si>
  <si>
    <t>prix HT (dh)</t>
  </si>
  <si>
    <t>TVA (%)</t>
  </si>
  <si>
    <t>Indice d'etat</t>
  </si>
  <si>
    <t>Prix TTC</t>
  </si>
  <si>
    <t>Ancienment é (ans)</t>
  </si>
  <si>
    <t>Etat global</t>
  </si>
  <si>
    <t>IM-101</t>
  </si>
  <si>
    <t>PC-205</t>
  </si>
  <si>
    <t xml:space="preserve">SC-330 </t>
  </si>
  <si>
    <t>PR-412</t>
  </si>
  <si>
    <t xml:space="preserve">PC-518 </t>
  </si>
  <si>
    <t>IM-624</t>
  </si>
  <si>
    <t>Imprimante</t>
  </si>
  <si>
    <t xml:space="preserve">Ordinateur </t>
  </si>
  <si>
    <t xml:space="preserve">Scanner </t>
  </si>
  <si>
    <t>Projecteur</t>
  </si>
  <si>
    <t>Ordinateur</t>
  </si>
  <si>
    <t>HP</t>
  </si>
  <si>
    <t xml:space="preserve">Dell </t>
  </si>
  <si>
    <t>Canon</t>
  </si>
  <si>
    <t>Epson</t>
  </si>
  <si>
    <t xml:space="preserve">Lenovo </t>
  </si>
  <si>
    <t xml:space="preserve"> Brother</t>
  </si>
  <si>
    <t>Administration</t>
  </si>
  <si>
    <t>Informatique</t>
  </si>
  <si>
    <t xml:space="preserve">RH </t>
  </si>
  <si>
    <t xml:space="preserve">Formation </t>
  </si>
  <si>
    <t>Comptabilité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</si>
</sst>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Baguet Script"/>
    </font>
    <font>
      <sz val="11"/>
      <color theme="1"/>
      <name val="David"/>
      <family val="2"/>
      <charset val="177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14" fontId="2" fillId="0" borderId="1" xfId="0" applyNumberFormat="1" applyFont="1" applyBorder="1"/>
    <xf numFmtId="9" fontId="2" fillId="0" borderId="1" xfId="0" applyNumberFormat="1" applyFont="1" applyBorder="1"/>
    <xf numFmtId="1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Sheet1!$L$3</c:f>
              <c:strCache>
                <c:ptCount val="1"/>
                <c:pt idx="0">
                  <c:v>Prix TTC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Sheet1!$L$4:$L$9</c:f>
              <c:numCache>
                <c:formatCode>General</c:formatCode>
                <c:ptCount val="6"/>
                <c:pt idx="0">
                  <c:v>4320</c:v>
                </c:pt>
                <c:pt idx="1">
                  <c:v>10680</c:v>
                </c:pt>
                <c:pt idx="2">
                  <c:v>5760</c:v>
                </c:pt>
                <c:pt idx="3">
                  <c:v>9120</c:v>
                </c:pt>
                <c:pt idx="4">
                  <c:v>12240</c:v>
                </c:pt>
                <c:pt idx="5">
                  <c:v>4920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66-488E-9993-4F3B355DEF70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878699663"/>
        <c:axId val="1878691503"/>
      </c:barChart>
      <c:catAx>
        <c:axId val="187869966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8691503"/>
        <c:crosses val="autoZero"/>
        <c:auto val="1"/>
        <c:lblAlgn val="ctr"/>
        <c:lblOffset val="100"/>
        <c:noMultiLvlLbl val="0"/>
      </c:catAx>
      <c:valAx>
        <c:axId val="1878691503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8786996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164762</xdr:colOff>
      <xdr:row>2</xdr:row>
      <xdr:rowOff>3089</xdr:rowOff>
    </xdr:from>
    <xdr:to>
      <xdr:col>21</xdr:col>
      <xdr:colOff>483978</xdr:colOff>
      <xdr:row>14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F05D94F-47D4-9319-F082-6C5EDA26F8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houa\OneDrive\Desktop\Book1.xlsx" TargetMode="External"/><Relationship Id="rId1" Type="http://schemas.openxmlformats.org/officeDocument/2006/relationships/externalLinkPath" Target="/Users/choua/OneDrive/Desktop/Book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2"/>
      <sheetName val="Sheet1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A5257-EFC8-4370-B385-3148148CBBAD}">
  <dimension ref="C3:N9"/>
  <sheetViews>
    <sheetView tabSelected="1" topLeftCell="H1" zoomScale="148" zoomScaleNormal="148" workbookViewId="0">
      <selection activeCell="N4" sqref="N4"/>
    </sheetView>
  </sheetViews>
  <sheetFormatPr defaultRowHeight="14.4" x14ac:dyDescent="0.3"/>
  <cols>
    <col min="4" max="4" width="12.33203125" customWidth="1"/>
    <col min="5" max="5" width="13.44140625" customWidth="1"/>
    <col min="7" max="7" width="13.77734375" customWidth="1"/>
    <col min="8" max="8" width="23.33203125" customWidth="1"/>
    <col min="9" max="9" width="12" customWidth="1"/>
    <col min="11" max="11" width="11.77734375" customWidth="1"/>
    <col min="13" max="13" width="16.6640625" customWidth="1"/>
    <col min="14" max="14" width="10.88671875" customWidth="1"/>
  </cols>
  <sheetData>
    <row r="3" spans="3:14" s="2" customFormat="1" ht="52.8" customHeight="1" x14ac:dyDescent="0.3">
      <c r="D3" s="1" t="s">
        <v>0</v>
      </c>
      <c r="E3" s="1" t="s">
        <v>1</v>
      </c>
      <c r="F3" s="1" t="s">
        <v>2</v>
      </c>
      <c r="G3" s="1" t="s">
        <v>3</v>
      </c>
      <c r="H3" s="1" t="s">
        <v>4</v>
      </c>
      <c r="I3" s="1" t="s">
        <v>5</v>
      </c>
      <c r="J3" s="1" t="s">
        <v>6</v>
      </c>
      <c r="K3" s="1" t="s">
        <v>7</v>
      </c>
      <c r="L3" s="1" t="s">
        <v>8</v>
      </c>
      <c r="M3" s="1" t="s">
        <v>9</v>
      </c>
      <c r="N3" s="1" t="s">
        <v>10</v>
      </c>
    </row>
    <row r="4" spans="3:14" x14ac:dyDescent="0.3">
      <c r="C4" s="3"/>
      <c r="D4" s="4" t="s">
        <v>11</v>
      </c>
      <c r="E4" s="4" t="s">
        <v>17</v>
      </c>
      <c r="F4" s="4" t="s">
        <v>22</v>
      </c>
      <c r="G4" s="4" t="s">
        <v>28</v>
      </c>
      <c r="H4" s="5">
        <f ca="1">RANDBETWEEN(DATE(1998,7,19),DATE(2020,8,19))</f>
        <v>37982</v>
      </c>
      <c r="I4" s="4">
        <v>3600</v>
      </c>
      <c r="J4" s="6">
        <v>0.2</v>
      </c>
      <c r="K4" s="4">
        <v>14</v>
      </c>
      <c r="L4" s="4">
        <f>I4+(I4*J4)</f>
        <v>4320</v>
      </c>
      <c r="M4" s="7">
        <f ca="1">(TODAY()-H4)/365</f>
        <v>21.989041095890411</v>
      </c>
      <c r="N4" s="4">
        <f>[1]Sheet1!$M$15</f>
        <v>0</v>
      </c>
    </row>
    <row r="5" spans="3:14" x14ac:dyDescent="0.3">
      <c r="C5" s="3"/>
      <c r="D5" s="4" t="s">
        <v>12</v>
      </c>
      <c r="E5" s="4" t="s">
        <v>18</v>
      </c>
      <c r="F5" s="4" t="s">
        <v>23</v>
      </c>
      <c r="G5" s="4" t="s">
        <v>29</v>
      </c>
      <c r="H5" s="5">
        <f t="shared" ref="H5:H9" ca="1" si="0">RANDBETWEEN(DATE(1998,7,19),DATE(2020,8,19))</f>
        <v>41384</v>
      </c>
      <c r="I5" s="4">
        <v>8900</v>
      </c>
      <c r="J5" s="6">
        <v>0.2</v>
      </c>
      <c r="K5" s="4">
        <v>17</v>
      </c>
      <c r="L5" s="4">
        <f t="shared" ref="L5:L9" si="1">I5+(I5*J5)</f>
        <v>10680</v>
      </c>
      <c r="M5" s="7">
        <f t="shared" ref="M5:M9" ca="1" si="2">(TODAY()-H5)/365</f>
        <v>12.668493150684931</v>
      </c>
      <c r="N5" s="4" t="str">
        <f t="shared" ref="N5:N9" si="3">IF(K5&gt;=16,"Très bon",IF(K5&gt;=12,"Bon",IF(K5&gt;=8,"Acceptable","À remplacer")))</f>
        <v>Très bon</v>
      </c>
    </row>
    <row r="6" spans="3:14" x14ac:dyDescent="0.3">
      <c r="C6" s="3"/>
      <c r="D6" s="4" t="s">
        <v>13</v>
      </c>
      <c r="E6" s="4" t="s">
        <v>19</v>
      </c>
      <c r="F6" s="4" t="s">
        <v>24</v>
      </c>
      <c r="G6" s="4" t="s">
        <v>30</v>
      </c>
      <c r="H6" s="5">
        <f t="shared" ca="1" si="0"/>
        <v>36005</v>
      </c>
      <c r="I6" s="4">
        <v>4800</v>
      </c>
      <c r="J6" s="6">
        <v>0.2</v>
      </c>
      <c r="K6" s="4">
        <v>10</v>
      </c>
      <c r="L6" s="4">
        <f t="shared" si="1"/>
        <v>5760</v>
      </c>
      <c r="M6" s="7">
        <f t="shared" ca="1" si="2"/>
        <v>27.405479452054795</v>
      </c>
      <c r="N6" s="4" t="str">
        <f t="shared" si="3"/>
        <v>Acceptable</v>
      </c>
    </row>
    <row r="7" spans="3:14" x14ac:dyDescent="0.3">
      <c r="C7" s="3"/>
      <c r="D7" s="4" t="s">
        <v>14</v>
      </c>
      <c r="E7" s="4" t="s">
        <v>20</v>
      </c>
      <c r="F7" s="4" t="s">
        <v>25</v>
      </c>
      <c r="G7" s="4" t="s">
        <v>31</v>
      </c>
      <c r="H7" s="5">
        <f t="shared" ca="1" si="0"/>
        <v>39157</v>
      </c>
      <c r="I7" s="4">
        <v>7600</v>
      </c>
      <c r="J7" s="6">
        <v>0.2</v>
      </c>
      <c r="K7" s="4">
        <v>13</v>
      </c>
      <c r="L7" s="4">
        <f t="shared" si="1"/>
        <v>9120</v>
      </c>
      <c r="M7" s="7">
        <f t="shared" ca="1" si="2"/>
        <v>18.769863013698629</v>
      </c>
      <c r="N7" s="4" t="str">
        <f t="shared" si="3"/>
        <v>Bon</v>
      </c>
    </row>
    <row r="8" spans="3:14" x14ac:dyDescent="0.3">
      <c r="C8" s="3"/>
      <c r="D8" s="4" t="s">
        <v>15</v>
      </c>
      <c r="E8" s="4" t="s">
        <v>21</v>
      </c>
      <c r="F8" s="4" t="s">
        <v>26</v>
      </c>
      <c r="G8" s="4" t="s">
        <v>29</v>
      </c>
      <c r="H8" s="5">
        <f t="shared" ca="1" si="0"/>
        <v>43105</v>
      </c>
      <c r="I8" s="4">
        <v>10200</v>
      </c>
      <c r="J8" s="6">
        <v>0.2</v>
      </c>
      <c r="K8" s="4">
        <v>18</v>
      </c>
      <c r="L8" s="4">
        <f t="shared" si="1"/>
        <v>12240</v>
      </c>
      <c r="M8" s="7">
        <f t="shared" ca="1" si="2"/>
        <v>7.9534246575342467</v>
      </c>
      <c r="N8" s="4" t="str">
        <f t="shared" si="3"/>
        <v>Très bon</v>
      </c>
    </row>
    <row r="9" spans="3:14" x14ac:dyDescent="0.3">
      <c r="C9" s="3"/>
      <c r="D9" s="4" t="s">
        <v>16</v>
      </c>
      <c r="E9" s="4" t="s">
        <v>17</v>
      </c>
      <c r="F9" s="4" t="s">
        <v>27</v>
      </c>
      <c r="G9" s="4" t="s">
        <v>32</v>
      </c>
      <c r="H9" s="5">
        <f t="shared" ca="1" si="0"/>
        <v>42318</v>
      </c>
      <c r="I9" s="4">
        <v>4100</v>
      </c>
      <c r="J9" s="6">
        <v>0.2</v>
      </c>
      <c r="K9" s="4">
        <v>6</v>
      </c>
      <c r="L9" s="4">
        <f t="shared" si="1"/>
        <v>4920</v>
      </c>
      <c r="M9" s="7">
        <f t="shared" ca="1" si="2"/>
        <v>10.109589041095891</v>
      </c>
      <c r="N9" s="4" t="str">
        <f t="shared" si="3"/>
        <v>À remplacer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Chouaib Benchouaib</dc:creator>
  <cp:lastModifiedBy>Chouaib Benchouaib</cp:lastModifiedBy>
  <dcterms:created xsi:type="dcterms:W3CDTF">2025-12-16T08:39:41Z</dcterms:created>
  <dcterms:modified xsi:type="dcterms:W3CDTF">2025-12-17T11:50:40Z</dcterms:modified>
</cp:coreProperties>
</file>